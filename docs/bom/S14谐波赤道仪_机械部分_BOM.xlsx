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q130\Downloads\"/>
    </mc:Choice>
  </mc:AlternateContent>
  <xr:revisionPtr revIDLastSave="0" documentId="13_ncr:1_{571B5FFC-D50E-4E4C-B9FC-A3CB93934125}" xr6:coauthVersionLast="47" xr6:coauthVersionMax="47" xr10:uidLastSave="{00000000-0000-0000-0000-000000000000}"/>
  <bookViews>
    <workbookView xWindow="4920" yWindow="2565" windowWidth="28800" windowHeight="16605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4" i="1" s="1"/>
</calcChain>
</file>

<file path=xl/sharedStrings.xml><?xml version="1.0" encoding="utf-8"?>
<sst xmlns="http://schemas.openxmlformats.org/spreadsheetml/2006/main" count="132" uniqueCount="69">
  <si>
    <t>序号</t>
  </si>
  <si>
    <t>类别</t>
  </si>
  <si>
    <t>名称</t>
  </si>
  <si>
    <t>规格/图样</t>
  </si>
  <si>
    <t>单位</t>
  </si>
  <si>
    <t>整机数量</t>
  </si>
  <si>
    <t>单价(元)</t>
  </si>
  <si>
    <t>每包数量</t>
  </si>
  <si>
    <t>购买包数/件数</t>
  </si>
  <si>
    <t>实际价格(元)</t>
  </si>
  <si>
    <t>功能组件</t>
  </si>
  <si>
    <t>42 步进电机</t>
  </si>
  <si>
    <t>NEMA17 / 42</t>
  </si>
  <si>
    <t>台</t>
  </si>
  <si>
    <t>TMC电机驱动</t>
  </si>
  <si>
    <t>TMC2209 (有财力可以使用TMC2240对比tmc2209全方位提升)</t>
  </si>
  <si>
    <t>件</t>
  </si>
  <si>
    <t>谐波减速器（含波发生器）</t>
  </si>
  <si>
    <t>S14-100-8-3</t>
  </si>
  <si>
    <t>套</t>
  </si>
  <si>
    <t>传动轴</t>
  </si>
  <si>
    <t>43 mm</t>
  </si>
  <si>
    <t>电磁制动器（本体）（含六角接合器）</t>
  </si>
  <si>
    <t>DCY-37 12V</t>
  </si>
  <si>
    <t>电磁制动器轴承固定座</t>
  </si>
  <si>
    <t>CNC</t>
  </si>
  <si>
    <t>结构件</t>
  </si>
  <si>
    <t>RA 轴传动固定板</t>
  </si>
  <si>
    <t>DEC 轴传动固定板</t>
  </si>
  <si>
    <t>传动轴承座</t>
  </si>
  <si>
    <t>RA 外壳</t>
  </si>
  <si>
    <t>DEC 外壳</t>
  </si>
  <si>
    <t>带轮与同步带</t>
  </si>
  <si>
    <t>同步轮</t>
  </si>
  <si>
    <t>2GT-20（20 齿）</t>
  </si>
  <si>
    <t>2GT-40-AF Φ8</t>
  </si>
  <si>
    <t>同步带</t>
  </si>
  <si>
    <t>2GT-178-6</t>
  </si>
  <si>
    <t>条</t>
  </si>
  <si>
    <t>2GT-140-6</t>
  </si>
  <si>
    <t>轴承与密封</t>
  </si>
  <si>
    <t>深沟球轴承</t>
  </si>
  <si>
    <t>5-13-3</t>
  </si>
  <si>
    <t>轴承</t>
  </si>
  <si>
    <t>5-9-3</t>
  </si>
  <si>
    <t>8-12-3.5</t>
  </si>
  <si>
    <t>骨架油封</t>
  </si>
  <si>
    <t>8×30×7</t>
  </si>
  <si>
    <t>间隔铜柱</t>
  </si>
  <si>
    <t>铜柱</t>
  </si>
  <si>
    <t>M3×20</t>
  </si>
  <si>
    <t>双通铜柱</t>
  </si>
  <si>
    <t>M3×11</t>
  </si>
  <si>
    <t>M4×12</t>
  </si>
  <si>
    <t>标准紧固件</t>
  </si>
  <si>
    <t>螺钉（圆柱头内六角）</t>
  </si>
  <si>
    <t>M3×8</t>
  </si>
  <si>
    <t>M3×14</t>
  </si>
  <si>
    <t>M4×8</t>
  </si>
  <si>
    <t>M4×16</t>
  </si>
  <si>
    <t>M4×20</t>
  </si>
  <si>
    <t>12X12X12四方螺母</t>
  </si>
  <si>
    <t>M4</t>
  </si>
  <si>
    <t>电气/测试（工序14）</t>
  </si>
  <si>
    <t>主板 PCB</t>
  </si>
  <si>
    <t>块</t>
  </si>
  <si>
    <t>合计（实际花费）</t>
  </si>
  <si>
    <t>E_stras 谐波赤道仪 · bom</t>
    <phoneticPr fontId="3" type="noConversion"/>
  </si>
  <si>
    <t>自制（详情见主板使用手册）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</si>
</sst>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3"/>
      <color rgb="FF1F4E7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7E6"/>
      </patternFill>
    </fill>
    <fill>
      <patternFill patternType="solid">
        <fgColor rgb="FFE8F0FE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2" fillId="5" borderId="1" xfId="0" applyFont="1" applyFill="1" applyBorder="1"/>
    <xf numFmtId="2" fontId="2" fillId="5" borderId="1" xfId="0" applyNumberFormat="1" applyFont="1" applyFill="1" applyBorder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3" topLeftCell="A4" activePane="bottomLeft" state="frozen"/>
      <selection pane="bottomLeft" activeCell="I38" sqref="I38"/>
    </sheetView>
  </sheetViews>
  <sheetFormatPr defaultRowHeight="13.5" x14ac:dyDescent="0.15"/>
  <cols>
    <col min="1" max="1" width="5" customWidth="1"/>
    <col min="2" max="2" width="15" customWidth="1"/>
    <col min="3" max="3" width="39.625" customWidth="1"/>
    <col min="4" max="4" width="30" customWidth="1"/>
    <col min="5" max="5" width="5" customWidth="1"/>
    <col min="6" max="6" width="8" customWidth="1"/>
    <col min="7" max="7" width="10" customWidth="1"/>
    <col min="8" max="8" width="9" customWidth="1"/>
    <col min="9" max="10" width="12" customWidth="1"/>
  </cols>
  <sheetData>
    <row r="1" spans="1:10" ht="15" customHeight="1" x14ac:dyDescent="0.15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1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27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15">
      <c r="A4" s="2">
        <v>1</v>
      </c>
      <c r="B4" s="2" t="s">
        <v>10</v>
      </c>
      <c r="C4" s="2" t="s">
        <v>11</v>
      </c>
      <c r="D4" s="2" t="s">
        <v>12</v>
      </c>
      <c r="E4" s="2" t="s">
        <v>13</v>
      </c>
      <c r="F4" s="3">
        <v>2</v>
      </c>
      <c r="G4" s="4">
        <v>15</v>
      </c>
      <c r="H4" s="3">
        <v>1</v>
      </c>
      <c r="I4" s="3">
        <v>2</v>
      </c>
      <c r="J4" s="5">
        <f t="shared" ref="J4:J33" si="0">IF(AND(ISNUMBER($G4),ISNUMBER($I4)),ROUND($G4*$I4,2),"")</f>
        <v>30</v>
      </c>
    </row>
    <row r="5" spans="1:10" x14ac:dyDescent="0.15">
      <c r="A5" s="2">
        <v>2</v>
      </c>
      <c r="B5" s="2" t="s">
        <v>10</v>
      </c>
      <c r="C5" s="2" t="s">
        <v>14</v>
      </c>
      <c r="D5" s="2" t="s">
        <v>15</v>
      </c>
      <c r="E5" s="2" t="s">
        <v>16</v>
      </c>
      <c r="F5" s="3">
        <v>2</v>
      </c>
      <c r="G5" s="4">
        <v>16</v>
      </c>
      <c r="H5" s="3">
        <v>1</v>
      </c>
      <c r="I5" s="3">
        <v>2</v>
      </c>
      <c r="J5" s="5">
        <f t="shared" si="0"/>
        <v>32</v>
      </c>
    </row>
    <row r="6" spans="1:10" x14ac:dyDescent="0.15">
      <c r="A6" s="2">
        <v>3</v>
      </c>
      <c r="B6" s="2" t="s">
        <v>10</v>
      </c>
      <c r="C6" s="2" t="s">
        <v>17</v>
      </c>
      <c r="D6" s="2" t="s">
        <v>18</v>
      </c>
      <c r="E6" s="2" t="s">
        <v>19</v>
      </c>
      <c r="F6" s="3">
        <v>2</v>
      </c>
      <c r="G6" s="4">
        <v>300</v>
      </c>
      <c r="H6" s="3">
        <v>1</v>
      </c>
      <c r="I6" s="3">
        <v>2</v>
      </c>
      <c r="J6" s="5">
        <f t="shared" si="0"/>
        <v>600</v>
      </c>
    </row>
    <row r="7" spans="1:10" x14ac:dyDescent="0.15">
      <c r="A7" s="2">
        <v>4</v>
      </c>
      <c r="B7" s="2" t="s">
        <v>10</v>
      </c>
      <c r="C7" s="2" t="s">
        <v>20</v>
      </c>
      <c r="D7" s="2" t="s">
        <v>21</v>
      </c>
      <c r="E7" s="2" t="s">
        <v>16</v>
      </c>
      <c r="F7" s="3">
        <v>2</v>
      </c>
      <c r="G7" s="4">
        <v>11.73</v>
      </c>
      <c r="H7" s="3">
        <v>1</v>
      </c>
      <c r="I7" s="3">
        <v>2</v>
      </c>
      <c r="J7" s="5">
        <f t="shared" si="0"/>
        <v>23.46</v>
      </c>
    </row>
    <row r="8" spans="1:10" x14ac:dyDescent="0.15">
      <c r="A8" s="2">
        <v>5</v>
      </c>
      <c r="B8" s="2" t="s">
        <v>10</v>
      </c>
      <c r="C8" s="2" t="s">
        <v>22</v>
      </c>
      <c r="D8" s="2" t="s">
        <v>23</v>
      </c>
      <c r="E8" s="2" t="s">
        <v>13</v>
      </c>
      <c r="F8" s="3">
        <v>1</v>
      </c>
      <c r="G8" s="4">
        <v>57</v>
      </c>
      <c r="H8" s="3">
        <v>1</v>
      </c>
      <c r="I8" s="3">
        <v>1</v>
      </c>
      <c r="J8" s="5">
        <f t="shared" si="0"/>
        <v>57</v>
      </c>
    </row>
    <row r="9" spans="1:10" x14ac:dyDescent="0.15">
      <c r="A9" s="2">
        <v>6</v>
      </c>
      <c r="B9" s="2" t="s">
        <v>10</v>
      </c>
      <c r="C9" s="2" t="s">
        <v>24</v>
      </c>
      <c r="D9" s="2" t="s">
        <v>25</v>
      </c>
      <c r="E9" s="2" t="s">
        <v>16</v>
      </c>
      <c r="F9" s="3">
        <v>1</v>
      </c>
      <c r="G9" s="4">
        <v>6.6</v>
      </c>
      <c r="H9" s="3">
        <v>1</v>
      </c>
      <c r="I9" s="3">
        <v>1</v>
      </c>
      <c r="J9" s="5">
        <f t="shared" si="0"/>
        <v>6.6</v>
      </c>
    </row>
    <row r="10" spans="1:10" x14ac:dyDescent="0.15">
      <c r="A10" s="2">
        <v>7</v>
      </c>
      <c r="B10" s="2" t="s">
        <v>26</v>
      </c>
      <c r="C10" s="2" t="s">
        <v>27</v>
      </c>
      <c r="D10" s="2" t="s">
        <v>25</v>
      </c>
      <c r="E10" s="2" t="s">
        <v>16</v>
      </c>
      <c r="F10" s="3">
        <v>1</v>
      </c>
      <c r="G10" s="4">
        <v>6.6</v>
      </c>
      <c r="H10" s="3">
        <v>1</v>
      </c>
      <c r="I10" s="3">
        <v>1</v>
      </c>
      <c r="J10" s="5">
        <f t="shared" si="0"/>
        <v>6.6</v>
      </c>
    </row>
    <row r="11" spans="1:10" x14ac:dyDescent="0.15">
      <c r="A11" s="2">
        <v>8</v>
      </c>
      <c r="B11" s="2" t="s">
        <v>26</v>
      </c>
      <c r="C11" s="2" t="s">
        <v>28</v>
      </c>
      <c r="D11" s="2" t="s">
        <v>25</v>
      </c>
      <c r="E11" s="2" t="s">
        <v>16</v>
      </c>
      <c r="F11" s="3">
        <v>1</v>
      </c>
      <c r="G11" s="4">
        <v>7.08</v>
      </c>
      <c r="H11" s="3">
        <v>1</v>
      </c>
      <c r="I11" s="3">
        <v>1</v>
      </c>
      <c r="J11" s="5">
        <f t="shared" si="0"/>
        <v>7.08</v>
      </c>
    </row>
    <row r="12" spans="1:10" x14ac:dyDescent="0.15">
      <c r="A12" s="2">
        <v>9</v>
      </c>
      <c r="B12" s="2" t="s">
        <v>26</v>
      </c>
      <c r="C12" s="2" t="s">
        <v>29</v>
      </c>
      <c r="D12" s="2" t="s">
        <v>25</v>
      </c>
      <c r="E12" s="2" t="s">
        <v>16</v>
      </c>
      <c r="F12" s="3">
        <v>2</v>
      </c>
      <c r="G12" s="4">
        <v>6.6</v>
      </c>
      <c r="H12" s="3">
        <v>1</v>
      </c>
      <c r="I12" s="3">
        <v>2</v>
      </c>
      <c r="J12" s="5">
        <f t="shared" si="0"/>
        <v>13.2</v>
      </c>
    </row>
    <row r="13" spans="1:10" x14ac:dyDescent="0.15">
      <c r="A13" s="2">
        <v>10</v>
      </c>
      <c r="B13" s="2" t="s">
        <v>26</v>
      </c>
      <c r="C13" s="2" t="s">
        <v>30</v>
      </c>
      <c r="D13" s="2" t="s">
        <v>25</v>
      </c>
      <c r="E13" s="2" t="s">
        <v>16</v>
      </c>
      <c r="F13" s="3">
        <v>1</v>
      </c>
      <c r="G13" s="4">
        <v>12.39</v>
      </c>
      <c r="H13" s="3">
        <v>1</v>
      </c>
      <c r="I13" s="3">
        <v>1</v>
      </c>
      <c r="J13" s="5">
        <f t="shared" si="0"/>
        <v>12.39</v>
      </c>
    </row>
    <row r="14" spans="1:10" x14ac:dyDescent="0.15">
      <c r="A14" s="2">
        <v>11</v>
      </c>
      <c r="B14" s="2" t="s">
        <v>26</v>
      </c>
      <c r="C14" s="2" t="s">
        <v>31</v>
      </c>
      <c r="D14" s="2" t="s">
        <v>25</v>
      </c>
      <c r="E14" s="2" t="s">
        <v>16</v>
      </c>
      <c r="F14" s="3">
        <v>1</v>
      </c>
      <c r="G14" s="4">
        <v>11.5</v>
      </c>
      <c r="H14" s="3">
        <v>1</v>
      </c>
      <c r="I14" s="3">
        <v>1</v>
      </c>
      <c r="J14" s="5">
        <f t="shared" si="0"/>
        <v>11.5</v>
      </c>
    </row>
    <row r="15" spans="1:10" x14ac:dyDescent="0.15">
      <c r="A15" s="2">
        <v>12</v>
      </c>
      <c r="B15" s="2" t="s">
        <v>32</v>
      </c>
      <c r="C15" s="2" t="s">
        <v>33</v>
      </c>
      <c r="D15" s="2" t="s">
        <v>34</v>
      </c>
      <c r="E15" s="2" t="s">
        <v>16</v>
      </c>
      <c r="F15" s="3">
        <v>3</v>
      </c>
      <c r="G15" s="4">
        <v>2.73</v>
      </c>
      <c r="H15" s="3">
        <v>1</v>
      </c>
      <c r="I15" s="3">
        <v>3</v>
      </c>
      <c r="J15" s="5">
        <f t="shared" si="0"/>
        <v>8.19</v>
      </c>
    </row>
    <row r="16" spans="1:10" x14ac:dyDescent="0.15">
      <c r="A16" s="2">
        <v>13</v>
      </c>
      <c r="B16" s="2" t="s">
        <v>32</v>
      </c>
      <c r="C16" s="2" t="s">
        <v>33</v>
      </c>
      <c r="D16" s="2" t="s">
        <v>35</v>
      </c>
      <c r="E16" s="2" t="s">
        <v>16</v>
      </c>
      <c r="F16" s="3">
        <v>2</v>
      </c>
      <c r="G16" s="4">
        <v>4.99</v>
      </c>
      <c r="H16" s="3">
        <v>1</v>
      </c>
      <c r="I16" s="3">
        <v>2</v>
      </c>
      <c r="J16" s="5">
        <f t="shared" si="0"/>
        <v>9.98</v>
      </c>
    </row>
    <row r="17" spans="1:10" x14ac:dyDescent="0.15">
      <c r="A17" s="2">
        <v>14</v>
      </c>
      <c r="B17" s="2" t="s">
        <v>32</v>
      </c>
      <c r="C17" s="2" t="s">
        <v>36</v>
      </c>
      <c r="D17" s="2" t="s">
        <v>37</v>
      </c>
      <c r="E17" s="2" t="s">
        <v>38</v>
      </c>
      <c r="F17" s="3">
        <v>1</v>
      </c>
      <c r="G17" s="4">
        <v>2.13</v>
      </c>
      <c r="H17" s="3">
        <v>1</v>
      </c>
      <c r="I17" s="3">
        <v>1</v>
      </c>
      <c r="J17" s="5">
        <f t="shared" si="0"/>
        <v>2.13</v>
      </c>
    </row>
    <row r="18" spans="1:10" x14ac:dyDescent="0.15">
      <c r="A18" s="2">
        <v>15</v>
      </c>
      <c r="B18" s="2" t="s">
        <v>32</v>
      </c>
      <c r="C18" s="2" t="s">
        <v>36</v>
      </c>
      <c r="D18" s="2" t="s">
        <v>39</v>
      </c>
      <c r="E18" s="2" t="s">
        <v>38</v>
      </c>
      <c r="F18" s="3">
        <v>1</v>
      </c>
      <c r="G18" s="4">
        <v>2.13</v>
      </c>
      <c r="H18" s="3">
        <v>1</v>
      </c>
      <c r="I18" s="3">
        <v>1</v>
      </c>
      <c r="J18" s="5">
        <f t="shared" si="0"/>
        <v>2.13</v>
      </c>
    </row>
    <row r="19" spans="1:10" x14ac:dyDescent="0.15">
      <c r="A19" s="2">
        <v>16</v>
      </c>
      <c r="B19" s="2" t="s">
        <v>40</v>
      </c>
      <c r="C19" s="2" t="s">
        <v>41</v>
      </c>
      <c r="D19" s="2" t="s">
        <v>42</v>
      </c>
      <c r="E19" s="2" t="s">
        <v>16</v>
      </c>
      <c r="F19" s="3">
        <v>1</v>
      </c>
      <c r="G19" s="4">
        <v>0.75</v>
      </c>
      <c r="H19" s="3">
        <v>1</v>
      </c>
      <c r="I19" s="3">
        <v>1</v>
      </c>
      <c r="J19" s="5">
        <f t="shared" si="0"/>
        <v>0.75</v>
      </c>
    </row>
    <row r="20" spans="1:10" x14ac:dyDescent="0.15">
      <c r="A20" s="2">
        <v>17</v>
      </c>
      <c r="B20" s="2" t="s">
        <v>40</v>
      </c>
      <c r="C20" s="2" t="s">
        <v>43</v>
      </c>
      <c r="D20" s="2" t="s">
        <v>44</v>
      </c>
      <c r="E20" s="2" t="s">
        <v>16</v>
      </c>
      <c r="F20" s="3">
        <v>1</v>
      </c>
      <c r="G20" s="4">
        <v>0.82</v>
      </c>
      <c r="H20" s="3">
        <v>1</v>
      </c>
      <c r="I20" s="3">
        <v>1</v>
      </c>
      <c r="J20" s="5">
        <f t="shared" si="0"/>
        <v>0.82</v>
      </c>
    </row>
    <row r="21" spans="1:10" x14ac:dyDescent="0.15">
      <c r="A21" s="2">
        <v>18</v>
      </c>
      <c r="B21" s="2" t="s">
        <v>40</v>
      </c>
      <c r="C21" s="2" t="s">
        <v>43</v>
      </c>
      <c r="D21" s="2" t="s">
        <v>45</v>
      </c>
      <c r="E21" s="2" t="s">
        <v>16</v>
      </c>
      <c r="F21" s="3">
        <v>2</v>
      </c>
      <c r="G21" s="4">
        <v>1.35</v>
      </c>
      <c r="H21" s="3">
        <v>1</v>
      </c>
      <c r="I21" s="3">
        <v>2</v>
      </c>
      <c r="J21" s="5">
        <f t="shared" si="0"/>
        <v>2.7</v>
      </c>
    </row>
    <row r="22" spans="1:10" x14ac:dyDescent="0.15">
      <c r="A22" s="2">
        <v>19</v>
      </c>
      <c r="B22" s="2" t="s">
        <v>40</v>
      </c>
      <c r="C22" s="2" t="s">
        <v>46</v>
      </c>
      <c r="D22" s="2" t="s">
        <v>47</v>
      </c>
      <c r="E22" s="2" t="s">
        <v>16</v>
      </c>
      <c r="F22" s="3">
        <v>2</v>
      </c>
      <c r="G22" s="4">
        <v>2.09</v>
      </c>
      <c r="H22" s="3">
        <v>1</v>
      </c>
      <c r="I22" s="3">
        <v>2</v>
      </c>
      <c r="J22" s="5">
        <f t="shared" si="0"/>
        <v>4.18</v>
      </c>
    </row>
    <row r="23" spans="1:10" x14ac:dyDescent="0.15">
      <c r="A23" s="2">
        <v>20</v>
      </c>
      <c r="B23" s="2" t="s">
        <v>48</v>
      </c>
      <c r="C23" s="2" t="s">
        <v>49</v>
      </c>
      <c r="D23" s="2" t="s">
        <v>50</v>
      </c>
      <c r="E23" s="2" t="s">
        <v>16</v>
      </c>
      <c r="F23" s="3">
        <v>6</v>
      </c>
      <c r="G23" s="4">
        <v>4.21</v>
      </c>
      <c r="H23" s="3">
        <v>20</v>
      </c>
      <c r="I23" s="3">
        <v>1</v>
      </c>
      <c r="J23" s="5">
        <f t="shared" si="0"/>
        <v>4.21</v>
      </c>
    </row>
    <row r="24" spans="1:10" x14ac:dyDescent="0.15">
      <c r="A24" s="2">
        <v>21</v>
      </c>
      <c r="B24" s="2" t="s">
        <v>48</v>
      </c>
      <c r="C24" s="2" t="s">
        <v>51</v>
      </c>
      <c r="D24" s="2" t="s">
        <v>52</v>
      </c>
      <c r="E24" s="2" t="s">
        <v>16</v>
      </c>
      <c r="F24" s="3">
        <v>6</v>
      </c>
      <c r="G24" s="4">
        <v>4.8600000000000003</v>
      </c>
      <c r="H24" s="3">
        <v>40</v>
      </c>
      <c r="I24" s="3">
        <v>1</v>
      </c>
      <c r="J24" s="5">
        <f t="shared" si="0"/>
        <v>4.8600000000000003</v>
      </c>
    </row>
    <row r="25" spans="1:10" x14ac:dyDescent="0.15">
      <c r="A25" s="2">
        <v>22</v>
      </c>
      <c r="B25" s="2" t="s">
        <v>48</v>
      </c>
      <c r="C25" s="2" t="s">
        <v>49</v>
      </c>
      <c r="D25" s="2" t="s">
        <v>53</v>
      </c>
      <c r="E25" s="2" t="s">
        <v>16</v>
      </c>
      <c r="F25" s="3">
        <v>4</v>
      </c>
      <c r="G25" s="4">
        <v>2.5299999999999998</v>
      </c>
      <c r="H25" s="3">
        <v>20</v>
      </c>
      <c r="I25" s="3">
        <v>1</v>
      </c>
      <c r="J25" s="5">
        <f t="shared" si="0"/>
        <v>2.5299999999999998</v>
      </c>
    </row>
    <row r="26" spans="1:10" x14ac:dyDescent="0.15">
      <c r="A26" s="2">
        <v>23</v>
      </c>
      <c r="B26" s="2" t="s">
        <v>54</v>
      </c>
      <c r="C26" s="2" t="s">
        <v>55</v>
      </c>
      <c r="D26" s="2" t="s">
        <v>56</v>
      </c>
      <c r="E26" s="2" t="s">
        <v>16</v>
      </c>
      <c r="F26" s="3">
        <v>12</v>
      </c>
      <c r="G26" s="4">
        <v>1.37</v>
      </c>
      <c r="H26" s="3">
        <v>50</v>
      </c>
      <c r="I26" s="3">
        <v>1</v>
      </c>
      <c r="J26" s="5">
        <f t="shared" si="0"/>
        <v>1.37</v>
      </c>
    </row>
    <row r="27" spans="1:10" x14ac:dyDescent="0.15">
      <c r="A27" s="2">
        <v>24</v>
      </c>
      <c r="B27" s="2" t="s">
        <v>54</v>
      </c>
      <c r="C27" s="2" t="s">
        <v>55</v>
      </c>
      <c r="D27" s="2" t="s">
        <v>57</v>
      </c>
      <c r="E27" s="2" t="s">
        <v>16</v>
      </c>
      <c r="F27" s="3">
        <v>3</v>
      </c>
      <c r="G27" s="4">
        <v>2.5</v>
      </c>
      <c r="H27" s="3">
        <v>50</v>
      </c>
      <c r="I27" s="3">
        <v>1</v>
      </c>
      <c r="J27" s="5">
        <f t="shared" si="0"/>
        <v>2.5</v>
      </c>
    </row>
    <row r="28" spans="1:10" x14ac:dyDescent="0.15">
      <c r="A28" s="2">
        <v>25</v>
      </c>
      <c r="B28" s="2" t="s">
        <v>54</v>
      </c>
      <c r="C28" s="2" t="s">
        <v>55</v>
      </c>
      <c r="D28" s="2" t="s">
        <v>58</v>
      </c>
      <c r="E28" s="2" t="s">
        <v>16</v>
      </c>
      <c r="F28" s="3">
        <v>8</v>
      </c>
      <c r="G28" s="4">
        <v>2.2000000000000002</v>
      </c>
      <c r="H28" s="3">
        <v>50</v>
      </c>
      <c r="I28" s="3">
        <v>1</v>
      </c>
      <c r="J28" s="5">
        <f t="shared" si="0"/>
        <v>2.2000000000000002</v>
      </c>
    </row>
    <row r="29" spans="1:10" x14ac:dyDescent="0.15">
      <c r="A29" s="2">
        <v>26</v>
      </c>
      <c r="B29" s="2" t="s">
        <v>54</v>
      </c>
      <c r="C29" s="2" t="s">
        <v>55</v>
      </c>
      <c r="D29" s="2" t="s">
        <v>53</v>
      </c>
      <c r="E29" s="2" t="s">
        <v>16</v>
      </c>
      <c r="F29" s="3">
        <v>4</v>
      </c>
      <c r="G29" s="4">
        <v>2.5099999999999998</v>
      </c>
      <c r="H29" s="3">
        <v>50</v>
      </c>
      <c r="I29" s="3">
        <v>1</v>
      </c>
      <c r="J29" s="5">
        <f t="shared" si="0"/>
        <v>2.5099999999999998</v>
      </c>
    </row>
    <row r="30" spans="1:10" x14ac:dyDescent="0.15">
      <c r="A30" s="2">
        <v>27</v>
      </c>
      <c r="B30" s="2" t="s">
        <v>54</v>
      </c>
      <c r="C30" s="2" t="s">
        <v>55</v>
      </c>
      <c r="D30" s="2" t="s">
        <v>59</v>
      </c>
      <c r="E30" s="2" t="s">
        <v>16</v>
      </c>
      <c r="F30" s="3">
        <v>5</v>
      </c>
      <c r="G30" s="4">
        <v>3</v>
      </c>
      <c r="H30" s="3">
        <v>50</v>
      </c>
      <c r="I30" s="3">
        <v>1</v>
      </c>
      <c r="J30" s="5">
        <f t="shared" si="0"/>
        <v>3</v>
      </c>
    </row>
    <row r="31" spans="1:10" x14ac:dyDescent="0.15">
      <c r="A31" s="2">
        <v>28</v>
      </c>
      <c r="B31" s="2" t="s">
        <v>54</v>
      </c>
      <c r="C31" s="2" t="s">
        <v>55</v>
      </c>
      <c r="D31" s="2" t="s">
        <v>60</v>
      </c>
      <c r="E31" s="2" t="s">
        <v>16</v>
      </c>
      <c r="F31" s="3">
        <v>17</v>
      </c>
      <c r="G31" s="4">
        <v>3</v>
      </c>
      <c r="H31" s="3">
        <v>50</v>
      </c>
      <c r="I31" s="3">
        <v>1</v>
      </c>
      <c r="J31" s="5">
        <f t="shared" si="0"/>
        <v>3</v>
      </c>
    </row>
    <row r="32" spans="1:10" x14ac:dyDescent="0.15">
      <c r="A32" s="2">
        <v>29</v>
      </c>
      <c r="B32" s="2" t="s">
        <v>54</v>
      </c>
      <c r="C32" s="2" t="s">
        <v>61</v>
      </c>
      <c r="D32" s="2" t="s">
        <v>62</v>
      </c>
      <c r="E32" s="2" t="s">
        <v>16</v>
      </c>
      <c r="F32" s="3">
        <v>4</v>
      </c>
      <c r="G32" s="4">
        <v>1.57</v>
      </c>
      <c r="H32" s="3">
        <v>1</v>
      </c>
      <c r="I32" s="3">
        <v>4</v>
      </c>
      <c r="J32" s="5">
        <f t="shared" si="0"/>
        <v>6.28</v>
      </c>
    </row>
    <row r="33" spans="1:10" x14ac:dyDescent="0.15">
      <c r="A33" s="2">
        <v>30</v>
      </c>
      <c r="B33" s="2" t="s">
        <v>63</v>
      </c>
      <c r="C33" s="2" t="s">
        <v>64</v>
      </c>
      <c r="D33" s="2" t="s">
        <v>68</v>
      </c>
      <c r="E33" s="2" t="s">
        <v>65</v>
      </c>
      <c r="F33" s="3">
        <v>1</v>
      </c>
      <c r="G33" s="4"/>
      <c r="H33" s="3"/>
      <c r="I33" s="3"/>
      <c r="J33" s="5" t="str">
        <f t="shared" si="0"/>
        <v/>
      </c>
    </row>
    <row r="34" spans="1:10" x14ac:dyDescent="0.15">
      <c r="A34" s="6"/>
      <c r="B34" s="6"/>
      <c r="C34" s="6" t="s">
        <v>66</v>
      </c>
      <c r="D34" s="6"/>
      <c r="E34" s="6"/>
      <c r="F34" s="6"/>
      <c r="G34" s="6"/>
      <c r="H34" s="6"/>
      <c r="I34" s="6"/>
      <c r="J34" s="7">
        <f>SUM(J4:J33)</f>
        <v>863.1700000000003</v>
      </c>
    </row>
  </sheetData>
  <mergeCells count="1">
    <mergeCell ref="A1:J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你先别急</cp:lastModifiedBy>
  <dcterms:created xsi:type="dcterms:W3CDTF">2026-09-11T13:29:10Z</dcterms:created>
  <dcterms:modified xsi:type="dcterms:W3CDTF">2026-09-11T14:52:51Z</dcterms:modified>
</cp:coreProperties>
</file>